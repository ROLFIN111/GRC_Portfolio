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GRC\3\"/>
    </mc:Choice>
  </mc:AlternateContent>
  <xr:revisionPtr revIDLastSave="0" documentId="13_ncr:1_{AB3848E1-1AB5-4DFE-904B-8ED951FDDD93}" xr6:coauthVersionLast="47" xr6:coauthVersionMax="47" xr10:uidLastSave="{00000000-0000-0000-0000-000000000000}"/>
  <bookViews>
    <workbookView xWindow="1104" yWindow="936" windowWidth="10788" windowHeight="8880" activeTab="2" xr2:uid="{00000000-000D-0000-FFFF-FFFF00000000}"/>
  </bookViews>
  <sheets>
    <sheet name="readme" sheetId="1" r:id="rId1"/>
    <sheet name="vendor_profile" sheetId="2" r:id="rId2"/>
    <sheet name="questionnaireSIG " sheetId="3" r:id="rId3"/>
    <sheet name="SOC 2 Review" sheetId="4" r:id="rId4"/>
    <sheet name="Scoring_Mode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5" l="1"/>
  <c r="B16" i="5" s="1"/>
  <c r="B17" i="5" s="1"/>
  <c r="B14" i="5"/>
  <c r="D10" i="5"/>
  <c r="B13" i="5" s="1"/>
  <c r="D5" i="5"/>
  <c r="D6" i="5"/>
  <c r="D7" i="5"/>
  <c r="D8" i="5"/>
  <c r="D9" i="5"/>
  <c r="D4" i="5"/>
  <c r="B10" i="5"/>
  <c r="B20" i="2"/>
  <c r="B21" i="2"/>
  <c r="B19" i="2"/>
  <c r="D19" i="2"/>
  <c r="D16" i="2"/>
  <c r="D17" i="2"/>
  <c r="D18" i="2"/>
  <c r="D15" i="2"/>
</calcChain>
</file>

<file path=xl/sharedStrings.xml><?xml version="1.0" encoding="utf-8"?>
<sst xmlns="http://schemas.openxmlformats.org/spreadsheetml/2006/main" count="222" uniqueCount="184">
  <si>
    <t>Scenario</t>
  </si>
  <si>
    <t>Field</t>
  </si>
  <si>
    <t>Details</t>
  </si>
  <si>
    <t xml:space="preserve">Client </t>
  </si>
  <si>
    <t>Vendor</t>
  </si>
  <si>
    <t>Service</t>
  </si>
  <si>
    <t xml:space="preserve">Data types processed </t>
  </si>
  <si>
    <t>Hosting</t>
  </si>
  <si>
    <t>Users / Volume</t>
  </si>
  <si>
    <t>Regulatory Scope</t>
  </si>
  <si>
    <t>Assessment Date</t>
  </si>
  <si>
    <t xml:space="preserve">Tiering </t>
  </si>
  <si>
    <t>Factor</t>
  </si>
  <si>
    <t>Weight</t>
  </si>
  <si>
    <t>Score (1-5)</t>
  </si>
  <si>
    <t>Weighted</t>
  </si>
  <si>
    <t>Data Sensitivity</t>
  </si>
  <si>
    <t>Vendor Profile &amp; Tiering</t>
  </si>
  <si>
    <t>Business Criticality</t>
  </si>
  <si>
    <t>System access/ Integration</t>
  </si>
  <si>
    <t>Regulatory exposure</t>
  </si>
  <si>
    <t xml:space="preserve">Total weighted score </t>
  </si>
  <si>
    <t>Vendor tier</t>
  </si>
  <si>
    <t>Inherent risk rating</t>
  </si>
  <si>
    <t>FinServe India Pvt Ltd</t>
  </si>
  <si>
    <t>CloudDesk.Inc , HQ Austin TX, delivery centre Pune</t>
  </si>
  <si>
    <t>Cloud Customer support and ticketing platform</t>
  </si>
  <si>
    <t>Customer PII, KYC-linked identifiers, Loan account numbers</t>
  </si>
  <si>
    <t>AWS ap-south-1 (Mumbai) primary,multi -AZ , encrypted backup copy in ap-southeast -1 (Singapore)</t>
  </si>
  <si>
    <t>320 FinServe support agents , about 1.2 million customer records</t>
  </si>
  <si>
    <t>DPDP Act 2023, GDPR, RBI outsourcing , ISO 27001 alignment</t>
  </si>
  <si>
    <t>SIG Vendor Questionnaire</t>
  </si>
  <si>
    <t xml:space="preserve">Q.No </t>
  </si>
  <si>
    <t>vendor response</t>
  </si>
  <si>
    <t>Evidence provided</t>
  </si>
  <si>
    <t>Assessor validation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</si>
  <si>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</si>
  <si>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</si>
  <si>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</si>
  <si>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</si>
  <si>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</si>
  <si>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</si>
  <si>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</si>
  <si>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</si>
  <si>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</si>
  <si>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</si>
  <si>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Questions</t>
  </si>
  <si>
    <t>Is system access revoked within 24 hours of employee termination?</t>
  </si>
  <si>
    <t>Is customer data encrypted at rest (AES-256) and in transit (TLS)?</t>
  </si>
  <si>
    <t>Are encryption keys stored seperately from the data?</t>
  </si>
  <si>
    <t>Is MFA enforced for all the privileged and the adminstrative access?</t>
  </si>
  <si>
    <t>Does the vendor commit to notify the customers of a data breachwithin 72 hours or less?</t>
  </si>
  <si>
    <t>Is retention and deletion scheduled for customer data?</t>
  </si>
  <si>
    <t>Is an enterprise risk assement performed atleast annuallly?</t>
  </si>
  <si>
    <t>Is an independent SOC-2 Type II audit performed annually?</t>
  </si>
  <si>
    <t>Is there a management approved information security policy and reviewed annually?</t>
  </si>
  <si>
    <t>Has an independent penetration test benn performed in last 12 months?</t>
  </si>
  <si>
    <t>Yes</t>
  </si>
  <si>
    <t>No</t>
  </si>
  <si>
    <t>Policy PDF</t>
  </si>
  <si>
    <t>SOC 2 report</t>
  </si>
  <si>
    <t>SOC 2 CC3 2</t>
  </si>
  <si>
    <t>Procedure only</t>
  </si>
  <si>
    <t>SOC 2 CC6.1</t>
  </si>
  <si>
    <t>Architecture notes</t>
  </si>
  <si>
    <t>None</t>
  </si>
  <si>
    <t>Draft MSA Clause 11.4</t>
  </si>
  <si>
    <t>Manual SOP</t>
  </si>
  <si>
    <t>Prior summary</t>
  </si>
  <si>
    <t>Policy Reviewed</t>
  </si>
  <si>
    <t>Validated</t>
  </si>
  <si>
    <t>Contradicted by SOC2</t>
  </si>
  <si>
    <t>Gap confirmed</t>
  </si>
  <si>
    <t>Self-attested</t>
  </si>
  <si>
    <t>SOC 2 Type II Review Checklist</t>
  </si>
  <si>
    <t>Report metadata</t>
  </si>
  <si>
    <t xml:space="preserve">Value </t>
  </si>
  <si>
    <t>Service auditor</t>
  </si>
  <si>
    <t>Report type</t>
  </si>
  <si>
    <t>Period start</t>
  </si>
  <si>
    <t xml:space="preserve">Period end </t>
  </si>
  <si>
    <t>Report date</t>
  </si>
  <si>
    <t>Opinion</t>
  </si>
  <si>
    <t>Criteria in scope</t>
  </si>
  <si>
    <t>Meridian Assurance LLP</t>
  </si>
  <si>
    <t>SOC 2 Type II</t>
  </si>
  <si>
    <t>Qualified</t>
  </si>
  <si>
    <t>Security,Availability,Confidentiality</t>
  </si>
  <si>
    <t>Weighted Vendor Risk Scoring Model</t>
  </si>
  <si>
    <t>Domain</t>
  </si>
  <si>
    <t>Score (0-5)</t>
  </si>
  <si>
    <t>Target</t>
  </si>
  <si>
    <t>Gap to target</t>
  </si>
  <si>
    <t>Access Control&amp;IAM</t>
  </si>
  <si>
    <t>Encryption &amp; key management</t>
  </si>
  <si>
    <t>Vulnerability &amp;Patch Management</t>
  </si>
  <si>
    <t>Incident Response</t>
  </si>
  <si>
    <t>Privacy &amp;Data Protection</t>
  </si>
  <si>
    <t>Governance &amp;Risk Management</t>
  </si>
  <si>
    <t>Total</t>
  </si>
  <si>
    <t>Control maturity Score(0-5)</t>
  </si>
  <si>
    <t>Maturity band</t>
  </si>
  <si>
    <t>Inherent risk</t>
  </si>
  <si>
    <t>Residual vendor risk</t>
  </si>
  <si>
    <t>Decision</t>
  </si>
  <si>
    <t>Residual Risk matrix</t>
  </si>
  <si>
    <t xml:space="preserve">Inherent maturity </t>
  </si>
  <si>
    <t>Strong</t>
  </si>
  <si>
    <t>Adequate</t>
  </si>
  <si>
    <t>Developing</t>
  </si>
  <si>
    <t>Weak</t>
  </si>
  <si>
    <t>Low</t>
  </si>
  <si>
    <t>Medium</t>
  </si>
  <si>
    <t>Critical</t>
  </si>
  <si>
    <t>High</t>
  </si>
  <si>
    <t>Check performed</t>
  </si>
  <si>
    <t>Report type and recency</t>
  </si>
  <si>
    <t>Type II (not Type I) and period within the last 12 months</t>
  </si>
  <si>
    <t>Opinion type</t>
  </si>
  <si>
    <t>Unqualified or qualified and why</t>
  </si>
  <si>
    <t>Scope vs services used</t>
  </si>
  <si>
    <t>Do the criteria and system boundary cover what FinServe will use</t>
  </si>
  <si>
    <t>Exceptions</t>
  </si>
  <si>
    <t>Each exception, management response, isolated vs systemic</t>
  </si>
  <si>
    <t>Subservice organisations</t>
  </si>
  <si>
    <t>Carve-out vs inclusive method; gaps</t>
  </si>
  <si>
    <t>CUECs</t>
  </si>
  <si>
    <t>Each CUEC has an owner at FinServe</t>
  </si>
  <si>
    <t>Gap between period end and today</t>
  </si>
  <si>
    <t>Request a bridge letter if more than 90 days</t>
  </si>
  <si>
    <t>ID</t>
  </si>
  <si>
    <t>Criterion</t>
  </si>
  <si>
    <t>Control tested</t>
  </si>
  <si>
    <t>E-1</t>
  </si>
  <si>
    <t>CC6.1</t>
  </si>
  <si>
    <t>Terminated-user access is removed within 24 hours</t>
  </si>
  <si>
    <t>CUEC</t>
  </si>
  <si>
    <t>FinServe owner</t>
  </si>
  <si>
    <t>CUEC-1</t>
  </si>
  <si>
    <t>Timely creation and removal of FinServe agent accounts</t>
  </si>
  <si>
    <t>IT Service Desk Manager</t>
  </si>
  <si>
    <t>CUEC-2</t>
  </si>
  <si>
    <t>Enforce SSO and MFA for all FinServe users</t>
  </si>
  <si>
    <t>Identity &amp; Access Manager</t>
  </si>
  <si>
    <t>CUEC-3</t>
  </si>
  <si>
    <t>Quarterly review of FinServe user access in the platform</t>
  </si>
  <si>
    <t>Head of Support Operations</t>
  </si>
  <si>
    <t>CUEC-4</t>
  </si>
  <si>
    <t>Configure data masking and retention settings</t>
  </si>
  <si>
    <t>Data Protection Officer</t>
  </si>
  <si>
    <t>Subservice org</t>
  </si>
  <si>
    <t>Method</t>
  </si>
  <si>
    <t>Services</t>
  </si>
  <si>
    <t>Amazon Web Services</t>
  </si>
  <si>
    <t>Carve-out</t>
  </si>
  <si>
    <t>Sl.no</t>
  </si>
  <si>
    <t>Review checklist</t>
  </si>
  <si>
    <t>Checklist items</t>
  </si>
  <si>
    <t>Exceptions by auditor</t>
  </si>
  <si>
    <t>Complementary User Entity Controls (FinServe responsibilities)</t>
  </si>
  <si>
    <t>Hosting, storage,network</t>
  </si>
  <si>
    <t>Results</t>
  </si>
  <si>
    <t>FinServe India Pvt Ltd (fictitious Bengaluru fintech) is onboarding CloudDesk Inc. (fictitious customer-support SaaS) that will process customer PII. The analyst decides: approve, approve with conditions, or reject.</t>
  </si>
  <si>
    <t>Assessor</t>
  </si>
  <si>
    <t>Assessment date</t>
  </si>
  <si>
    <t>Sheet</t>
  </si>
  <si>
    <t>Purpose</t>
  </si>
  <si>
    <t>Vendor_Profile</t>
  </si>
  <si>
    <t>Questionnaire</t>
  </si>
  <si>
    <t>SOC2_Review</t>
  </si>
  <si>
    <t>Scoring_Model</t>
  </si>
  <si>
    <t>(NOTE:This is a simulated case for assessment)</t>
  </si>
  <si>
    <t xml:space="preserve">ROLFIN, TPRM Analyst </t>
  </si>
  <si>
    <t xml:space="preserve"> Vendor Risk Assessment &amp; SOC 2 Review </t>
  </si>
  <si>
    <t>vendor profile and tiering matrix (weighted formula) that triggers the depth of due diligence.</t>
  </si>
  <si>
    <t>10-question SIG-style questionnaire for 7 domains with vendor responses, evidence and assessor validation.</t>
  </si>
  <si>
    <t>SOC 2 Type II review checklist, exceptions with deviation rates, subservice organisations and CUECs.</t>
  </si>
  <si>
    <t>weighted domain scoring, maturity band, residual risk matrix and the decision rule.</t>
  </si>
  <si>
    <t>Governance</t>
  </si>
  <si>
    <t>Risk Management</t>
  </si>
  <si>
    <t>Access Control</t>
  </si>
  <si>
    <t>Encryption</t>
  </si>
  <si>
    <t xml:space="preserve">Privacy </t>
  </si>
  <si>
    <t>Vulnerability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</si>
</sst>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"/>
    </font>
    <font>
      <i/>
      <sz val="9"/>
      <color rgb="FF666666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C5CE"/>
      </left>
      <right style="thin">
        <color rgb="FFBFC5CE"/>
      </right>
      <top style="thin">
        <color rgb="FFBFC5CE"/>
      </top>
      <bottom style="thin">
        <color rgb="FFBFC5CE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9" fontId="0" fillId="0" borderId="0" xfId="0" applyNumberFormat="1"/>
    <xf numFmtId="14" fontId="0" fillId="0" borderId="0" xfId="0" applyNumberFormat="1"/>
    <xf numFmtId="15" fontId="0" fillId="0" borderId="0" xfId="0" applyNumberFormat="1"/>
    <xf numFmtId="0" fontId="1" fillId="0" borderId="0" xfId="0" applyFont="1"/>
    <xf numFmtId="0" fontId="3" fillId="0" borderId="0" xfId="1"/>
    <xf numFmtId="0" fontId="6" fillId="0" borderId="1" xfId="1" applyFont="1" applyBorder="1" applyAlignment="1">
      <alignment vertical="top" wrapText="1"/>
    </xf>
    <xf numFmtId="0" fontId="5" fillId="0" borderId="0" xfId="1" applyFont="1" applyAlignment="1">
      <alignment vertical="top" wrapText="1"/>
    </xf>
    <xf numFmtId="0" fontId="6" fillId="0" borderId="1" xfId="1" applyFont="1" applyBorder="1" applyAlignment="1">
      <alignment horizontal="center" vertical="top" wrapText="1"/>
    </xf>
    <xf numFmtId="0" fontId="7" fillId="0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vertical="center"/>
    </xf>
    <xf numFmtId="0" fontId="3" fillId="0" borderId="0" xfId="1"/>
    <xf numFmtId="0" fontId="4" fillId="0" borderId="0" xfId="1" applyFont="1"/>
    <xf numFmtId="0" fontId="6" fillId="0" borderId="0" xfId="1" applyFont="1" applyAlignment="1">
      <alignment vertical="top" wrapText="1"/>
    </xf>
    <xf numFmtId="0" fontId="0" fillId="0" borderId="0" xfId="0" applyAlignment="1">
      <alignment vertical="center"/>
    </xf>
    <xf numFmtId="0" fontId="8" fillId="0" borderId="0" xfId="1" applyFont="1"/>
    <xf numFmtId="0" fontId="7" fillId="0" borderId="0" xfId="1" applyFont="1" applyFill="1" applyAlignment="1">
      <alignment vertical="center"/>
    </xf>
    <xf numFmtId="0" fontId="7" fillId="0" borderId="0" xfId="1" applyFont="1" applyFill="1" applyAlignment="1">
      <alignment vertical="top" wrapText="1"/>
    </xf>
    <xf numFmtId="14" fontId="6" fillId="0" borderId="0" xfId="1" applyNumberFormat="1" applyFont="1" applyAlignment="1">
      <alignment horizontal="left" vertical="top" wrapText="1"/>
    </xf>
  </cellXfs>
  <cellStyles count="2">
    <cellStyle name="Normal" xfId="0" builtinId="0"/>
    <cellStyle name="Normal 2" xfId="1" xr:uid="{9E0ABE8E-8B1A-4C09-BE18-2680885F7B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selection activeCell="G9" sqref="G9"/>
    </sheetView>
  </sheetViews>
  <sheetFormatPr defaultRowHeight="14.4" x14ac:dyDescent="0.3"/>
  <cols>
    <col min="1" max="1" width="20.5546875" customWidth="1"/>
    <col min="2" max="2" width="50.6640625" customWidth="1"/>
  </cols>
  <sheetData>
    <row r="1" spans="1:2" ht="17.399999999999999" x14ac:dyDescent="0.3">
      <c r="A1" s="16" t="s">
        <v>173</v>
      </c>
      <c r="B1" s="12"/>
    </row>
    <row r="2" spans="1:2" x14ac:dyDescent="0.3">
      <c r="A2" s="13" t="s">
        <v>171</v>
      </c>
      <c r="B2" s="12"/>
    </row>
    <row r="4" spans="1:2" ht="66" x14ac:dyDescent="0.3">
      <c r="A4" s="11" t="s">
        <v>0</v>
      </c>
      <c r="B4" s="14" t="s">
        <v>162</v>
      </c>
    </row>
    <row r="5" spans="1:2" x14ac:dyDescent="0.3">
      <c r="A5" s="11" t="s">
        <v>163</v>
      </c>
      <c r="B5" s="14" t="s">
        <v>172</v>
      </c>
    </row>
    <row r="6" spans="1:2" x14ac:dyDescent="0.3">
      <c r="A6" s="11" t="s">
        <v>164</v>
      </c>
      <c r="B6" s="19">
        <v>46301</v>
      </c>
    </row>
    <row r="7" spans="1:2" x14ac:dyDescent="0.3">
      <c r="A7" s="11"/>
      <c r="B7" s="14"/>
    </row>
    <row r="8" spans="1:2" x14ac:dyDescent="0.3">
      <c r="A8" s="17" t="s">
        <v>165</v>
      </c>
      <c r="B8" s="18" t="s">
        <v>166</v>
      </c>
    </row>
    <row r="9" spans="1:2" ht="26.4" x14ac:dyDescent="0.3">
      <c r="A9" s="11" t="s">
        <v>167</v>
      </c>
      <c r="B9" s="14" t="s">
        <v>174</v>
      </c>
    </row>
    <row r="10" spans="1:2" ht="26.4" x14ac:dyDescent="0.3">
      <c r="A10" s="11" t="s">
        <v>168</v>
      </c>
      <c r="B10" s="14" t="s">
        <v>175</v>
      </c>
    </row>
    <row r="11" spans="1:2" ht="26.4" x14ac:dyDescent="0.3">
      <c r="A11" s="11" t="s">
        <v>169</v>
      </c>
      <c r="B11" s="14" t="s">
        <v>176</v>
      </c>
    </row>
    <row r="12" spans="1:2" ht="26.4" x14ac:dyDescent="0.3">
      <c r="A12" s="11" t="s">
        <v>170</v>
      </c>
      <c r="B12" s="14" t="s">
        <v>177</v>
      </c>
    </row>
    <row r="13" spans="1:2" x14ac:dyDescent="0.3">
      <c r="A13" s="11"/>
      <c r="B13" s="14"/>
    </row>
    <row r="14" spans="1:2" x14ac:dyDescent="0.3">
      <c r="A14" s="15"/>
    </row>
    <row r="15" spans="1:2" x14ac:dyDescent="0.3">
      <c r="A15" s="15"/>
    </row>
    <row r="16" spans="1:2" x14ac:dyDescent="0.3">
      <c r="A16" s="15"/>
    </row>
    <row r="17" spans="1:1" x14ac:dyDescent="0.3">
      <c r="A17" s="15"/>
    </row>
    <row r="18" spans="1:1" x14ac:dyDescent="0.3">
      <c r="A18" s="15"/>
    </row>
    <row r="19" spans="1:1" x14ac:dyDescent="0.3">
      <c r="A19" s="15"/>
    </row>
    <row r="20" spans="1:1" x14ac:dyDescent="0.3">
      <c r="A20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5CD5D-F18E-4456-A0FF-C05F91B41ABF}">
  <dimension ref="A1:E21"/>
  <sheetViews>
    <sheetView workbookViewId="0">
      <selection activeCell="L16" sqref="L16"/>
    </sheetView>
  </sheetViews>
  <sheetFormatPr defaultRowHeight="14.4" x14ac:dyDescent="0.3"/>
  <cols>
    <col min="1" max="1" width="23.109375" bestFit="1" customWidth="1"/>
    <col min="2" max="2" width="42.5546875" bestFit="1" customWidth="1"/>
  </cols>
  <sheetData>
    <row r="1" spans="1:5" x14ac:dyDescent="0.3">
      <c r="A1" s="1" t="s">
        <v>17</v>
      </c>
      <c r="B1" s="1"/>
      <c r="C1" s="1"/>
    </row>
    <row r="2" spans="1:5" x14ac:dyDescent="0.3">
      <c r="A2" s="1"/>
      <c r="B2" s="1"/>
      <c r="C2" s="1"/>
    </row>
    <row r="3" spans="1:5" x14ac:dyDescent="0.3">
      <c r="A3" s="1" t="s">
        <v>1</v>
      </c>
      <c r="B3" s="1" t="s">
        <v>2</v>
      </c>
      <c r="C3" s="1"/>
    </row>
    <row r="4" spans="1:5" x14ac:dyDescent="0.3">
      <c r="A4" t="s">
        <v>3</v>
      </c>
      <c r="B4" t="s">
        <v>24</v>
      </c>
    </row>
    <row r="5" spans="1:5" x14ac:dyDescent="0.3">
      <c r="A5" t="s">
        <v>4</v>
      </c>
      <c r="B5" t="s">
        <v>25</v>
      </c>
    </row>
    <row r="6" spans="1:5" x14ac:dyDescent="0.3">
      <c r="A6" t="s">
        <v>5</v>
      </c>
      <c r="B6" t="s">
        <v>26</v>
      </c>
    </row>
    <row r="7" spans="1:5" x14ac:dyDescent="0.3">
      <c r="A7" t="s">
        <v>6</v>
      </c>
      <c r="B7" t="s">
        <v>27</v>
      </c>
    </row>
    <row r="8" spans="1:5" x14ac:dyDescent="0.3">
      <c r="A8" t="s">
        <v>7</v>
      </c>
      <c r="B8" t="s">
        <v>28</v>
      </c>
    </row>
    <row r="9" spans="1:5" x14ac:dyDescent="0.3">
      <c r="A9" t="s">
        <v>8</v>
      </c>
      <c r="B9" t="s">
        <v>29</v>
      </c>
    </row>
    <row r="10" spans="1:5" x14ac:dyDescent="0.3">
      <c r="A10" t="s">
        <v>9</v>
      </c>
      <c r="B10" t="s">
        <v>30</v>
      </c>
    </row>
    <row r="11" spans="1:5" x14ac:dyDescent="0.3">
      <c r="A11" t="s">
        <v>10</v>
      </c>
      <c r="B11" s="3">
        <v>46301</v>
      </c>
    </row>
    <row r="13" spans="1:5" x14ac:dyDescent="0.3">
      <c r="A13" s="1" t="s">
        <v>11</v>
      </c>
      <c r="B13" s="1"/>
      <c r="C13" s="1"/>
      <c r="D13" s="1"/>
      <c r="E13" s="1"/>
    </row>
    <row r="14" spans="1:5" x14ac:dyDescent="0.3">
      <c r="A14" s="1" t="s">
        <v>12</v>
      </c>
      <c r="B14" s="1" t="s">
        <v>13</v>
      </c>
      <c r="C14" s="1" t="s">
        <v>14</v>
      </c>
      <c r="D14" s="1" t="s">
        <v>15</v>
      </c>
      <c r="E14" s="1"/>
    </row>
    <row r="15" spans="1:5" x14ac:dyDescent="0.3">
      <c r="A15" t="s">
        <v>16</v>
      </c>
      <c r="B15" s="2">
        <v>0.35</v>
      </c>
      <c r="C15">
        <v>5</v>
      </c>
      <c r="D15">
        <f>B15*C15</f>
        <v>1.75</v>
      </c>
    </row>
    <row r="16" spans="1:5" x14ac:dyDescent="0.3">
      <c r="A16" t="s">
        <v>18</v>
      </c>
      <c r="B16" s="2">
        <v>0.25</v>
      </c>
      <c r="C16">
        <v>4</v>
      </c>
      <c r="D16">
        <f t="shared" ref="D16:D18" si="0">B16*C16</f>
        <v>1</v>
      </c>
    </row>
    <row r="17" spans="1:4" x14ac:dyDescent="0.3">
      <c r="A17" t="s">
        <v>19</v>
      </c>
      <c r="B17" s="2">
        <v>0.2</v>
      </c>
      <c r="C17">
        <v>3</v>
      </c>
      <c r="D17">
        <f t="shared" si="0"/>
        <v>0.60000000000000009</v>
      </c>
    </row>
    <row r="18" spans="1:4" x14ac:dyDescent="0.3">
      <c r="A18" t="s">
        <v>20</v>
      </c>
      <c r="B18" s="2">
        <v>0.2</v>
      </c>
      <c r="C18">
        <v>5</v>
      </c>
      <c r="D18">
        <f t="shared" si="0"/>
        <v>1</v>
      </c>
    </row>
    <row r="19" spans="1:4" x14ac:dyDescent="0.3">
      <c r="A19" t="s">
        <v>21</v>
      </c>
      <c r="B19" s="2">
        <f>SUM(B15:B18)</f>
        <v>1</v>
      </c>
      <c r="D19">
        <f>SUM(D15:D18)</f>
        <v>4.3499999999999996</v>
      </c>
    </row>
    <row r="20" spans="1:4" x14ac:dyDescent="0.3">
      <c r="A20" t="s">
        <v>22</v>
      </c>
      <c r="B20" t="str">
        <f>IF(D19&gt;=4,"Tier 1 - CRITICAL",IF(D19&gt;=3,"Tier 2 -HIGH",IF(D19&gt;=2,"Tier 3 - MODERATE","Tier 4 -LOWER")))</f>
        <v>Tier 1 - CRITICAL</v>
      </c>
    </row>
    <row r="21" spans="1:4" x14ac:dyDescent="0.3">
      <c r="A21" t="s">
        <v>23</v>
      </c>
      <c r="B21" t="str">
        <f>IF(D19&gt;=4.5,"Critical",IF(D19&gt;=3.5,"High",IF(D19&gt;=2.5,"Medium","Low")))</f>
        <v>High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FA859-6F37-4D82-87F5-2C7DBBD65FD8}">
  <dimension ref="A1:F13"/>
  <sheetViews>
    <sheetView tabSelected="1" topLeftCell="D1" workbookViewId="0">
      <selection activeCell="B15" sqref="B15"/>
    </sheetView>
  </sheetViews>
  <sheetFormatPr defaultRowHeight="14.4" x14ac:dyDescent="0.3"/>
  <cols>
    <col min="2" max="2" width="23" bestFit="1" customWidth="1"/>
    <col min="3" max="3" width="75" bestFit="1" customWidth="1"/>
    <col min="4" max="4" width="14.5546875" bestFit="1" customWidth="1"/>
    <col min="5" max="5" width="19.33203125" bestFit="1" customWidth="1"/>
    <col min="6" max="6" width="18.88671875" bestFit="1" customWidth="1"/>
  </cols>
  <sheetData>
    <row r="1" spans="1:6" x14ac:dyDescent="0.3">
      <c r="A1" s="5" t="s">
        <v>31</v>
      </c>
    </row>
    <row r="3" spans="1:6" x14ac:dyDescent="0.3">
      <c r="A3" s="5" t="s">
        <v>32</v>
      </c>
      <c r="B3" s="5" t="s">
        <v>89</v>
      </c>
      <c r="C3" s="5" t="s">
        <v>46</v>
      </c>
      <c r="D3" s="5" t="s">
        <v>33</v>
      </c>
      <c r="E3" s="5" t="s">
        <v>34</v>
      </c>
      <c r="F3" s="5" t="s">
        <v>35</v>
      </c>
    </row>
    <row r="4" spans="1:6" x14ac:dyDescent="0.3">
      <c r="A4" t="s">
        <v>36</v>
      </c>
      <c r="B4" t="s">
        <v>178</v>
      </c>
      <c r="C4" t="s">
        <v>55</v>
      </c>
      <c r="D4" t="s">
        <v>57</v>
      </c>
      <c r="E4" t="s">
        <v>59</v>
      </c>
      <c r="F4" t="s">
        <v>69</v>
      </c>
    </row>
    <row r="5" spans="1:6" x14ac:dyDescent="0.3">
      <c r="A5" t="s">
        <v>37</v>
      </c>
      <c r="B5" t="s">
        <v>178</v>
      </c>
      <c r="C5" t="s">
        <v>54</v>
      </c>
      <c r="D5" t="s">
        <v>57</v>
      </c>
      <c r="E5" t="s">
        <v>60</v>
      </c>
      <c r="F5" t="s">
        <v>70</v>
      </c>
    </row>
    <row r="6" spans="1:6" x14ac:dyDescent="0.3">
      <c r="A6" t="s">
        <v>38</v>
      </c>
      <c r="B6" t="s">
        <v>179</v>
      </c>
      <c r="C6" t="s">
        <v>53</v>
      </c>
      <c r="D6" t="s">
        <v>57</v>
      </c>
      <c r="E6" t="s">
        <v>61</v>
      </c>
      <c r="F6" t="s">
        <v>70</v>
      </c>
    </row>
    <row r="7" spans="1:6" x14ac:dyDescent="0.3">
      <c r="A7" t="s">
        <v>39</v>
      </c>
      <c r="B7" t="s">
        <v>180</v>
      </c>
      <c r="C7" t="s">
        <v>47</v>
      </c>
      <c r="D7" t="s">
        <v>57</v>
      </c>
      <c r="E7" t="s">
        <v>62</v>
      </c>
      <c r="F7" t="s">
        <v>71</v>
      </c>
    </row>
    <row r="8" spans="1:6" x14ac:dyDescent="0.3">
      <c r="A8" t="s">
        <v>40</v>
      </c>
      <c r="B8" t="s">
        <v>181</v>
      </c>
      <c r="C8" t="s">
        <v>48</v>
      </c>
      <c r="D8" t="s">
        <v>57</v>
      </c>
      <c r="E8" t="s">
        <v>63</v>
      </c>
      <c r="F8" t="s">
        <v>70</v>
      </c>
    </row>
    <row r="9" spans="1:6" x14ac:dyDescent="0.3">
      <c r="A9" t="s">
        <v>41</v>
      </c>
      <c r="B9" t="s">
        <v>181</v>
      </c>
      <c r="C9" t="s">
        <v>49</v>
      </c>
      <c r="D9" t="s">
        <v>58</v>
      </c>
      <c r="E9" t="s">
        <v>64</v>
      </c>
      <c r="F9" t="s">
        <v>72</v>
      </c>
    </row>
    <row r="10" spans="1:6" x14ac:dyDescent="0.3">
      <c r="A10" t="s">
        <v>42</v>
      </c>
      <c r="B10" t="s">
        <v>180</v>
      </c>
      <c r="C10" t="s">
        <v>50</v>
      </c>
      <c r="D10" t="s">
        <v>57</v>
      </c>
      <c r="E10" t="s">
        <v>65</v>
      </c>
      <c r="F10" t="s">
        <v>71</v>
      </c>
    </row>
    <row r="11" spans="1:6" x14ac:dyDescent="0.3">
      <c r="A11" t="s">
        <v>43</v>
      </c>
      <c r="B11" t="s">
        <v>96</v>
      </c>
      <c r="C11" t="s">
        <v>51</v>
      </c>
      <c r="D11" t="s">
        <v>58</v>
      </c>
      <c r="E11" t="s">
        <v>66</v>
      </c>
      <c r="F11" t="s">
        <v>72</v>
      </c>
    </row>
    <row r="12" spans="1:6" x14ac:dyDescent="0.3">
      <c r="A12" t="s">
        <v>44</v>
      </c>
      <c r="B12" t="s">
        <v>182</v>
      </c>
      <c r="C12" t="s">
        <v>52</v>
      </c>
      <c r="D12" t="s">
        <v>58</v>
      </c>
      <c r="E12" t="s">
        <v>67</v>
      </c>
      <c r="F12" t="s">
        <v>73</v>
      </c>
    </row>
    <row r="13" spans="1:6" x14ac:dyDescent="0.3">
      <c r="A13" t="s">
        <v>45</v>
      </c>
      <c r="B13" t="s">
        <v>183</v>
      </c>
      <c r="C13" t="s">
        <v>56</v>
      </c>
      <c r="D13" t="s">
        <v>58</v>
      </c>
      <c r="E13" t="s">
        <v>68</v>
      </c>
      <c r="F13" t="s">
        <v>72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8B2D9-EEE7-4C2F-AD52-F2704C9B071D}">
  <dimension ref="A1:C35"/>
  <sheetViews>
    <sheetView topLeftCell="A34" workbookViewId="0">
      <selection activeCell="E13" sqref="E13"/>
    </sheetView>
  </sheetViews>
  <sheetFormatPr defaultRowHeight="14.4" x14ac:dyDescent="0.3"/>
  <cols>
    <col min="1" max="1" width="31.5546875" customWidth="1"/>
    <col min="2" max="2" width="29.5546875" bestFit="1" customWidth="1"/>
    <col min="3" max="3" width="24.5546875" customWidth="1"/>
  </cols>
  <sheetData>
    <row r="1" spans="1:3" x14ac:dyDescent="0.3">
      <c r="A1" s="5" t="s">
        <v>74</v>
      </c>
    </row>
    <row r="3" spans="1:3" x14ac:dyDescent="0.3">
      <c r="A3" s="5" t="s">
        <v>75</v>
      </c>
      <c r="B3" s="5" t="s">
        <v>76</v>
      </c>
    </row>
    <row r="4" spans="1:3" x14ac:dyDescent="0.3">
      <c r="A4" t="s">
        <v>77</v>
      </c>
      <c r="B4" t="s">
        <v>84</v>
      </c>
    </row>
    <row r="5" spans="1:3" x14ac:dyDescent="0.3">
      <c r="A5" t="s">
        <v>78</v>
      </c>
      <c r="B5" t="s">
        <v>85</v>
      </c>
    </row>
    <row r="6" spans="1:3" x14ac:dyDescent="0.3">
      <c r="A6" t="s">
        <v>79</v>
      </c>
      <c r="B6" s="4">
        <v>45839</v>
      </c>
    </row>
    <row r="7" spans="1:3" x14ac:dyDescent="0.3">
      <c r="A7" t="s">
        <v>80</v>
      </c>
      <c r="B7" s="4">
        <v>46203</v>
      </c>
    </row>
    <row r="8" spans="1:3" x14ac:dyDescent="0.3">
      <c r="A8" t="s">
        <v>81</v>
      </c>
      <c r="B8" s="4">
        <v>46262</v>
      </c>
    </row>
    <row r="9" spans="1:3" x14ac:dyDescent="0.3">
      <c r="A9" t="s">
        <v>82</v>
      </c>
      <c r="B9" t="s">
        <v>86</v>
      </c>
    </row>
    <row r="10" spans="1:3" x14ac:dyDescent="0.3">
      <c r="A10" t="s">
        <v>83</v>
      </c>
      <c r="B10" t="s">
        <v>87</v>
      </c>
    </row>
    <row r="12" spans="1:3" x14ac:dyDescent="0.3">
      <c r="A12" s="8" t="s">
        <v>156</v>
      </c>
      <c r="B12" s="6"/>
      <c r="C12" s="6"/>
    </row>
    <row r="13" spans="1:3" ht="39.6" x14ac:dyDescent="0.3">
      <c r="A13" s="10" t="s">
        <v>155</v>
      </c>
      <c r="B13" s="10" t="s">
        <v>157</v>
      </c>
      <c r="C13" s="10" t="s">
        <v>115</v>
      </c>
    </row>
    <row r="14" spans="1:3" ht="92.4" x14ac:dyDescent="0.3">
      <c r="A14" s="9">
        <v>1</v>
      </c>
      <c r="B14" s="7" t="s">
        <v>116</v>
      </c>
      <c r="C14" s="7" t="s">
        <v>117</v>
      </c>
    </row>
    <row r="15" spans="1:3" ht="52.8" x14ac:dyDescent="0.3">
      <c r="A15" s="9">
        <v>2</v>
      </c>
      <c r="B15" s="7" t="s">
        <v>118</v>
      </c>
      <c r="C15" s="7" t="s">
        <v>119</v>
      </c>
    </row>
    <row r="16" spans="1:3" ht="118.8" x14ac:dyDescent="0.3">
      <c r="A16" s="9">
        <v>3</v>
      </c>
      <c r="B16" s="7" t="s">
        <v>120</v>
      </c>
      <c r="C16" s="7" t="s">
        <v>121</v>
      </c>
    </row>
    <row r="17" spans="1:3" ht="118.8" x14ac:dyDescent="0.3">
      <c r="A17" s="9">
        <v>4</v>
      </c>
      <c r="B17" s="7" t="s">
        <v>122</v>
      </c>
      <c r="C17" s="7" t="s">
        <v>123</v>
      </c>
    </row>
    <row r="18" spans="1:3" ht="66" x14ac:dyDescent="0.3">
      <c r="A18" s="9">
        <v>5</v>
      </c>
      <c r="B18" s="7" t="s">
        <v>124</v>
      </c>
      <c r="C18" s="7" t="s">
        <v>125</v>
      </c>
    </row>
    <row r="19" spans="1:3" ht="66" x14ac:dyDescent="0.3">
      <c r="A19" s="9">
        <v>6</v>
      </c>
      <c r="B19" s="7" t="s">
        <v>126</v>
      </c>
      <c r="C19" s="7" t="s">
        <v>127</v>
      </c>
    </row>
    <row r="20" spans="1:3" ht="79.2" x14ac:dyDescent="0.3">
      <c r="A20" s="9">
        <v>7</v>
      </c>
      <c r="B20" s="7" t="s">
        <v>128</v>
      </c>
      <c r="C20" s="7" t="s">
        <v>129</v>
      </c>
    </row>
    <row r="22" spans="1:3" x14ac:dyDescent="0.3">
      <c r="A22" s="8" t="s">
        <v>158</v>
      </c>
      <c r="B22" s="6"/>
      <c r="C22" s="6"/>
    </row>
    <row r="23" spans="1:3" x14ac:dyDescent="0.3">
      <c r="A23" s="10" t="s">
        <v>130</v>
      </c>
      <c r="B23" s="10" t="s">
        <v>131</v>
      </c>
      <c r="C23" s="10" t="s">
        <v>132</v>
      </c>
    </row>
    <row r="24" spans="1:3" ht="79.2" x14ac:dyDescent="0.3">
      <c r="A24" s="9" t="s">
        <v>133</v>
      </c>
      <c r="B24" s="9" t="s">
        <v>134</v>
      </c>
      <c r="C24" s="7" t="s">
        <v>135</v>
      </c>
    </row>
    <row r="26" spans="1:3" ht="39.6" x14ac:dyDescent="0.3">
      <c r="A26" s="8" t="s">
        <v>159</v>
      </c>
      <c r="B26" s="6"/>
      <c r="C26" s="6"/>
    </row>
    <row r="27" spans="1:3" x14ac:dyDescent="0.3">
      <c r="A27" s="10" t="s">
        <v>130</v>
      </c>
      <c r="B27" s="10" t="s">
        <v>136</v>
      </c>
      <c r="C27" s="10" t="s">
        <v>137</v>
      </c>
    </row>
    <row r="28" spans="1:3" ht="52.8" x14ac:dyDescent="0.3">
      <c r="A28" s="9" t="s">
        <v>138</v>
      </c>
      <c r="B28" s="7" t="s">
        <v>139</v>
      </c>
      <c r="C28" s="7" t="s">
        <v>140</v>
      </c>
    </row>
    <row r="29" spans="1:3" ht="39.6" x14ac:dyDescent="0.3">
      <c r="A29" s="9" t="s">
        <v>141</v>
      </c>
      <c r="B29" s="7" t="s">
        <v>142</v>
      </c>
      <c r="C29" s="7" t="s">
        <v>143</v>
      </c>
    </row>
    <row r="30" spans="1:3" ht="52.8" x14ac:dyDescent="0.3">
      <c r="A30" s="9" t="s">
        <v>144</v>
      </c>
      <c r="B30" s="7" t="s">
        <v>145</v>
      </c>
      <c r="C30" s="7" t="s">
        <v>146</v>
      </c>
    </row>
    <row r="31" spans="1:3" ht="39.6" x14ac:dyDescent="0.3">
      <c r="A31" s="9" t="s">
        <v>147</v>
      </c>
      <c r="B31" s="7" t="s">
        <v>148</v>
      </c>
      <c r="C31" s="7" t="s">
        <v>149</v>
      </c>
    </row>
    <row r="33" spans="1:3" x14ac:dyDescent="0.3">
      <c r="A33" s="8" t="s">
        <v>124</v>
      </c>
      <c r="B33" s="6"/>
      <c r="C33" s="6"/>
    </row>
    <row r="34" spans="1:3" x14ac:dyDescent="0.3">
      <c r="A34" s="10" t="s">
        <v>150</v>
      </c>
      <c r="B34" s="10" t="s">
        <v>151</v>
      </c>
      <c r="C34" s="10" t="s">
        <v>152</v>
      </c>
    </row>
    <row r="35" spans="1:3" x14ac:dyDescent="0.3">
      <c r="A35" s="7" t="s">
        <v>153</v>
      </c>
      <c r="B35" s="7" t="s">
        <v>154</v>
      </c>
      <c r="C35" s="7" t="s">
        <v>160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38518-24AD-43AE-8A73-ACECDC86BBB7}">
  <dimension ref="A1:F25"/>
  <sheetViews>
    <sheetView topLeftCell="A4" workbookViewId="0">
      <selection activeCell="G25" sqref="G25"/>
    </sheetView>
  </sheetViews>
  <sheetFormatPr defaultRowHeight="14.4" x14ac:dyDescent="0.3"/>
  <cols>
    <col min="1" max="1" width="31.33203125" bestFit="1" customWidth="1"/>
    <col min="3" max="3" width="10.109375" bestFit="1" customWidth="1"/>
    <col min="4" max="4" width="10.44140625" bestFit="1" customWidth="1"/>
    <col min="6" max="6" width="11.77734375" bestFit="1" customWidth="1"/>
  </cols>
  <sheetData>
    <row r="1" spans="1:6" x14ac:dyDescent="0.3">
      <c r="A1" s="5" t="s">
        <v>88</v>
      </c>
    </row>
    <row r="3" spans="1:6" x14ac:dyDescent="0.3">
      <c r="A3" s="5" t="s">
        <v>89</v>
      </c>
      <c r="B3" s="5" t="s">
        <v>13</v>
      </c>
      <c r="C3" s="5" t="s">
        <v>90</v>
      </c>
      <c r="D3" s="5" t="s">
        <v>15</v>
      </c>
      <c r="E3" s="5" t="s">
        <v>91</v>
      </c>
      <c r="F3" s="5" t="s">
        <v>92</v>
      </c>
    </row>
    <row r="4" spans="1:6" x14ac:dyDescent="0.3">
      <c r="A4" t="s">
        <v>93</v>
      </c>
      <c r="B4" s="2">
        <v>0.25</v>
      </c>
      <c r="C4">
        <v>1</v>
      </c>
      <c r="D4">
        <f>(B4*C4)</f>
        <v>0.25</v>
      </c>
      <c r="E4">
        <v>4</v>
      </c>
      <c r="F4">
        <v>3</v>
      </c>
    </row>
    <row r="5" spans="1:6" x14ac:dyDescent="0.3">
      <c r="A5" t="s">
        <v>94</v>
      </c>
      <c r="B5" s="2">
        <v>0.2</v>
      </c>
      <c r="C5">
        <v>3</v>
      </c>
      <c r="D5">
        <f t="shared" ref="D5:D9" si="0">(B5*C5)</f>
        <v>0.60000000000000009</v>
      </c>
      <c r="E5">
        <v>4</v>
      </c>
      <c r="F5">
        <v>1</v>
      </c>
    </row>
    <row r="6" spans="1:6" x14ac:dyDescent="0.3">
      <c r="A6" t="s">
        <v>95</v>
      </c>
      <c r="B6" s="2">
        <v>0.1</v>
      </c>
      <c r="C6">
        <v>2</v>
      </c>
      <c r="D6">
        <f t="shared" si="0"/>
        <v>0.2</v>
      </c>
      <c r="E6">
        <v>4</v>
      </c>
      <c r="F6">
        <v>2</v>
      </c>
    </row>
    <row r="7" spans="1:6" x14ac:dyDescent="0.3">
      <c r="A7" t="s">
        <v>96</v>
      </c>
      <c r="B7" s="2">
        <v>0.15</v>
      </c>
      <c r="C7">
        <v>2</v>
      </c>
      <c r="D7">
        <f t="shared" si="0"/>
        <v>0.3</v>
      </c>
      <c r="E7">
        <v>4</v>
      </c>
      <c r="F7">
        <v>2</v>
      </c>
    </row>
    <row r="8" spans="1:6" x14ac:dyDescent="0.3">
      <c r="A8" t="s">
        <v>97</v>
      </c>
      <c r="B8" s="2">
        <v>0.15</v>
      </c>
      <c r="C8">
        <v>2</v>
      </c>
      <c r="D8">
        <f t="shared" si="0"/>
        <v>0.3</v>
      </c>
      <c r="E8">
        <v>4</v>
      </c>
      <c r="F8">
        <v>2</v>
      </c>
    </row>
    <row r="9" spans="1:6" x14ac:dyDescent="0.3">
      <c r="A9" t="s">
        <v>98</v>
      </c>
      <c r="B9" s="2">
        <v>0.15</v>
      </c>
      <c r="C9">
        <v>4</v>
      </c>
      <c r="D9">
        <f t="shared" si="0"/>
        <v>0.6</v>
      </c>
      <c r="E9">
        <v>4</v>
      </c>
      <c r="F9">
        <v>0</v>
      </c>
    </row>
    <row r="10" spans="1:6" x14ac:dyDescent="0.3">
      <c r="A10" t="s">
        <v>99</v>
      </c>
      <c r="B10" s="2">
        <f>SUM(B4:B9)</f>
        <v>1</v>
      </c>
      <c r="D10">
        <f>SUM(D4:D9)</f>
        <v>2.25</v>
      </c>
    </row>
    <row r="12" spans="1:6" x14ac:dyDescent="0.3">
      <c r="A12" s="5" t="s">
        <v>161</v>
      </c>
    </row>
    <row r="13" spans="1:6" x14ac:dyDescent="0.3">
      <c r="A13" t="s">
        <v>100</v>
      </c>
      <c r="B13">
        <f>D10</f>
        <v>2.25</v>
      </c>
    </row>
    <row r="14" spans="1:6" x14ac:dyDescent="0.3">
      <c r="A14" t="s">
        <v>101</v>
      </c>
      <c r="B14" t="str">
        <f>IF(B13&gt;=4,"Strong",IF(B13&gt;=3,"Adequate",IF(B13&gt;=2,"Developing","weak")))</f>
        <v>Developing</v>
      </c>
    </row>
    <row r="15" spans="1:6" x14ac:dyDescent="0.3">
      <c r="A15" t="s">
        <v>102</v>
      </c>
      <c r="B15" t="str">
        <f>vendor_profile!$B$21</f>
        <v>High</v>
      </c>
    </row>
    <row r="16" spans="1:6" x14ac:dyDescent="0.3">
      <c r="A16" t="s">
        <v>103</v>
      </c>
      <c r="B16" t="str">
        <f>INDEX($B$22:$E$25,MATCH(B15,$A$22:$A$25,0),MATCH(B14,$B$21:$E$21,0))</f>
        <v>High</v>
      </c>
    </row>
    <row r="17" spans="1:5" x14ac:dyDescent="0.3">
      <c r="A17" t="s">
        <v>104</v>
      </c>
      <c r="B17" t="str">
        <f>IF(B16="Critical","REJECT",IF(B16="High","APPROVE WITH CONDITIONS",IF(B16="Medium","APPROVE WITH MONITORING","APPROVE")))</f>
        <v>APPROVE WITH CONDITIONS</v>
      </c>
    </row>
    <row r="20" spans="1:5" x14ac:dyDescent="0.3">
      <c r="A20" s="5" t="s">
        <v>105</v>
      </c>
    </row>
    <row r="21" spans="1:5" x14ac:dyDescent="0.3">
      <c r="A21" s="5" t="s">
        <v>106</v>
      </c>
      <c r="B21" s="5" t="s">
        <v>107</v>
      </c>
      <c r="C21" s="5" t="s">
        <v>108</v>
      </c>
      <c r="D21" s="5" t="s">
        <v>109</v>
      </c>
      <c r="E21" s="5" t="s">
        <v>110</v>
      </c>
    </row>
    <row r="22" spans="1:5" x14ac:dyDescent="0.3">
      <c r="A22" s="5" t="s">
        <v>111</v>
      </c>
      <c r="B22" t="s">
        <v>111</v>
      </c>
      <c r="C22" t="s">
        <v>111</v>
      </c>
      <c r="D22" t="s">
        <v>112</v>
      </c>
      <c r="E22" t="s">
        <v>112</v>
      </c>
    </row>
    <row r="23" spans="1:5" x14ac:dyDescent="0.3">
      <c r="A23" s="5" t="s">
        <v>112</v>
      </c>
      <c r="B23" t="s">
        <v>111</v>
      </c>
      <c r="C23" t="s">
        <v>112</v>
      </c>
      <c r="D23" t="s">
        <v>112</v>
      </c>
      <c r="E23" t="s">
        <v>114</v>
      </c>
    </row>
    <row r="24" spans="1:5" x14ac:dyDescent="0.3">
      <c r="A24" s="5" t="s">
        <v>114</v>
      </c>
      <c r="B24" t="s">
        <v>112</v>
      </c>
      <c r="C24" t="s">
        <v>112</v>
      </c>
      <c r="D24" t="s">
        <v>114</v>
      </c>
      <c r="E24" t="s">
        <v>113</v>
      </c>
    </row>
    <row r="25" spans="1:5" x14ac:dyDescent="0.3">
      <c r="A25" s="5" t="s">
        <v>113</v>
      </c>
      <c r="B25" t="s">
        <v>112</v>
      </c>
      <c r="C25" t="s">
        <v>114</v>
      </c>
      <c r="D25" t="s">
        <v>113</v>
      </c>
      <c r="E25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vendor_profile</vt:lpstr>
      <vt:lpstr>questionnaireSIG </vt:lpstr>
      <vt:lpstr>SOC 2 Review</vt:lpstr>
      <vt:lpstr>Scoring_Model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ROLFIN</dc:creator>
  <cp:lastModifiedBy>ROLFIN .</cp:lastModifiedBy>
  <dcterms:created xsi:type="dcterms:W3CDTF">2015-06-05T18:17:20Z</dcterms:created>
  <dcterms:modified xsi:type="dcterms:W3CDTF">2026-10-27T05:28:48Z</dcterms:modified>
</cp:coreProperties>
</file>